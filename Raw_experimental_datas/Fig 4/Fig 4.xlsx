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0-编辑-MG\000-编辑组项目\2024-10-1_P870_前列腺癌预后_吴昆\P870 原始实验数据\Fig 4\"/>
    </mc:Choice>
  </mc:AlternateContent>
  <xr:revisionPtr revIDLastSave="0" documentId="13_ncr:1_{EC966E49-6ACE-4D3E-B43A-08D0BB0257C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22RV1" sheetId="1" r:id="rId1"/>
    <sheet name="PC-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2" l="1"/>
  <c r="I11" i="2"/>
  <c r="I12" i="2"/>
  <c r="I13" i="2"/>
  <c r="I14" i="2"/>
  <c r="I9" i="2"/>
  <c r="D10" i="2"/>
  <c r="D11" i="2"/>
  <c r="D12" i="2"/>
  <c r="D13" i="2"/>
  <c r="D14" i="2"/>
  <c r="D9" i="2"/>
  <c r="H14" i="2"/>
  <c r="C14" i="2"/>
  <c r="H13" i="2"/>
  <c r="C13" i="2"/>
  <c r="H12" i="2"/>
  <c r="C12" i="2"/>
  <c r="H11" i="2"/>
  <c r="C11" i="2"/>
  <c r="H10" i="2"/>
  <c r="C10" i="2"/>
  <c r="H9" i="2"/>
  <c r="C9" i="2"/>
  <c r="I10" i="1"/>
  <c r="I11" i="1"/>
  <c r="I12" i="1"/>
  <c r="I13" i="1"/>
  <c r="I14" i="1"/>
  <c r="I9" i="1"/>
  <c r="D10" i="1"/>
  <c r="D11" i="1"/>
  <c r="D12" i="1"/>
  <c r="D13" i="1"/>
  <c r="D14" i="1"/>
  <c r="D9" i="1"/>
  <c r="H12" i="1"/>
  <c r="H13" i="1"/>
  <c r="H14" i="1"/>
  <c r="C12" i="1"/>
  <c r="C13" i="1"/>
  <c r="C14" i="1"/>
  <c r="H10" i="1"/>
  <c r="H11" i="1"/>
  <c r="H9" i="1"/>
  <c r="C10" i="1"/>
  <c r="C11" i="1"/>
  <c r="C9" i="1"/>
</calcChain>
</file>

<file path=xl/sharedStrings.xml><?xml version="1.0" encoding="utf-8"?>
<sst xmlns="http://schemas.openxmlformats.org/spreadsheetml/2006/main" count="24" uniqueCount="9">
  <si>
    <t>RWPE-2</t>
    <phoneticPr fontId="1" type="noConversion"/>
  </si>
  <si>
    <t>22RV1</t>
    <phoneticPr fontId="1" type="noConversion"/>
  </si>
  <si>
    <t>GSK3B</t>
    <phoneticPr fontId="1" type="noConversion"/>
  </si>
  <si>
    <t>P-GSK3B</t>
    <phoneticPr fontId="1" type="noConversion"/>
  </si>
  <si>
    <t>P-GASK3B/GSK3B</t>
    <phoneticPr fontId="1" type="noConversion"/>
  </si>
  <si>
    <t>SMAD3</t>
    <phoneticPr fontId="1" type="noConversion"/>
  </si>
  <si>
    <t>P-SMAD3</t>
    <phoneticPr fontId="1" type="noConversion"/>
  </si>
  <si>
    <t>P-SMAD3/SMAD3</t>
    <phoneticPr fontId="1" type="noConversion"/>
  </si>
  <si>
    <t>PC-3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</si>
</sst>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H24" sqref="H24"/>
    </sheetView>
  </sheetViews>
  <sheetFormatPr defaultRowHeight="14" x14ac:dyDescent="0.3"/>
  <sheetData>
    <row r="1" spans="1:9" x14ac:dyDescent="0.3">
      <c r="A1" t="s">
        <v>2</v>
      </c>
      <c r="F1" t="s">
        <v>5</v>
      </c>
    </row>
    <row r="2" spans="1:9" x14ac:dyDescent="0.3">
      <c r="A2" t="s">
        <v>0</v>
      </c>
      <c r="B2" t="s">
        <v>1</v>
      </c>
      <c r="F2" t="s">
        <v>0</v>
      </c>
      <c r="G2" t="s">
        <v>1</v>
      </c>
    </row>
    <row r="3" spans="1:9" x14ac:dyDescent="0.3">
      <c r="A3">
        <v>0.74172207889269159</v>
      </c>
      <c r="B3">
        <v>2.32854184269772</v>
      </c>
      <c r="F3">
        <v>0.98269074834940551</v>
      </c>
      <c r="G3">
        <v>2.9345812456183622</v>
      </c>
    </row>
    <row r="4" spans="1:9" x14ac:dyDescent="0.3">
      <c r="A4">
        <v>0.95061109285766621</v>
      </c>
      <c r="B4">
        <v>1.798737850242327</v>
      </c>
      <c r="F4">
        <v>1.1448080487918515</v>
      </c>
      <c r="G4">
        <v>2.6368069516245303</v>
      </c>
    </row>
    <row r="5" spans="1:9" x14ac:dyDescent="0.3">
      <c r="A5">
        <v>1.3076668282496469</v>
      </c>
      <c r="B5">
        <v>2.4048957176978143</v>
      </c>
      <c r="F5">
        <v>0.87250120285873867</v>
      </c>
      <c r="G5">
        <v>3.344839438830034</v>
      </c>
    </row>
    <row r="8" spans="1:9" x14ac:dyDescent="0.3">
      <c r="A8" t="s">
        <v>3</v>
      </c>
      <c r="B8" t="s">
        <v>2</v>
      </c>
      <c r="C8" t="s">
        <v>4</v>
      </c>
      <c r="F8" t="s">
        <v>6</v>
      </c>
      <c r="G8" t="s">
        <v>5</v>
      </c>
      <c r="H8" t="s">
        <v>7</v>
      </c>
    </row>
    <row r="9" spans="1:9" x14ac:dyDescent="0.3">
      <c r="A9">
        <v>15607</v>
      </c>
      <c r="B9">
        <v>61736</v>
      </c>
      <c r="C9">
        <f>A9/B9</f>
        <v>0.2528022547622133</v>
      </c>
      <c r="D9">
        <f>C9/0.340831508129863</f>
        <v>0.74172207889269159</v>
      </c>
      <c r="F9">
        <v>15325</v>
      </c>
      <c r="G9">
        <v>57905</v>
      </c>
      <c r="H9">
        <f>F9/G9</f>
        <v>0.26465762887488126</v>
      </c>
      <c r="I9">
        <f>H9/0.269319345195239</f>
        <v>0.98269074834940551</v>
      </c>
    </row>
    <row r="10" spans="1:9" x14ac:dyDescent="0.3">
      <c r="A10">
        <v>19575</v>
      </c>
      <c r="B10">
        <v>60417</v>
      </c>
      <c r="C10">
        <f t="shared" ref="C10:C14" si="0">A10/B10</f>
        <v>0.32399821242365562</v>
      </c>
      <c r="D10">
        <f t="shared" ref="D10:D14" si="1">C10/0.340831508129863</f>
        <v>0.95061109285766621</v>
      </c>
      <c r="F10">
        <v>18583</v>
      </c>
      <c r="G10">
        <v>60272</v>
      </c>
      <c r="H10">
        <f t="shared" ref="H10:H14" si="2">F10/G10</f>
        <v>0.30831895407486065</v>
      </c>
      <c r="I10">
        <f t="shared" ref="I10:I14" si="3">H10/0.269319345195239</f>
        <v>1.1448080487918515</v>
      </c>
    </row>
    <row r="11" spans="1:9" x14ac:dyDescent="0.3">
      <c r="A11">
        <v>28454</v>
      </c>
      <c r="B11">
        <v>63842</v>
      </c>
      <c r="C11">
        <f t="shared" si="0"/>
        <v>0.44569405720372168</v>
      </c>
      <c r="D11">
        <f t="shared" si="1"/>
        <v>1.3076668282496469</v>
      </c>
      <c r="F11">
        <v>14633</v>
      </c>
      <c r="G11">
        <v>62273</v>
      </c>
      <c r="H11">
        <f t="shared" si="2"/>
        <v>0.23498145263597386</v>
      </c>
      <c r="I11">
        <f t="shared" si="3"/>
        <v>0.87250120285873867</v>
      </c>
    </row>
    <row r="12" spans="1:9" x14ac:dyDescent="0.3">
      <c r="A12">
        <v>47397</v>
      </c>
      <c r="B12">
        <v>59721</v>
      </c>
      <c r="C12">
        <f t="shared" si="0"/>
        <v>0.79364042799015422</v>
      </c>
      <c r="D12">
        <f t="shared" si="1"/>
        <v>2.32854184269772</v>
      </c>
      <c r="F12">
        <v>47467</v>
      </c>
      <c r="G12">
        <v>60059</v>
      </c>
      <c r="H12">
        <f t="shared" si="2"/>
        <v>0.79033949949216609</v>
      </c>
      <c r="I12">
        <f t="shared" si="3"/>
        <v>2.9345812456183622</v>
      </c>
    </row>
    <row r="13" spans="1:9" x14ac:dyDescent="0.3">
      <c r="A13">
        <v>38267</v>
      </c>
      <c r="B13">
        <v>62419</v>
      </c>
      <c r="C13">
        <f t="shared" si="0"/>
        <v>0.61306653422835999</v>
      </c>
      <c r="D13">
        <f t="shared" si="1"/>
        <v>1.798737850242327</v>
      </c>
      <c r="F13">
        <v>39893</v>
      </c>
      <c r="G13">
        <v>56176</v>
      </c>
      <c r="H13">
        <f t="shared" si="2"/>
        <v>0.71014312161777271</v>
      </c>
      <c r="I13">
        <f t="shared" si="3"/>
        <v>2.6368069516245303</v>
      </c>
    </row>
    <row r="14" spans="1:9" x14ac:dyDescent="0.3">
      <c r="A14">
        <v>45943</v>
      </c>
      <c r="B14">
        <v>56051</v>
      </c>
      <c r="C14">
        <f t="shared" si="0"/>
        <v>0.8196642343579954</v>
      </c>
      <c r="D14">
        <f t="shared" si="1"/>
        <v>2.4048957176978143</v>
      </c>
      <c r="F14">
        <v>52858</v>
      </c>
      <c r="G14">
        <v>58677</v>
      </c>
      <c r="H14">
        <f t="shared" si="2"/>
        <v>0.9008299674489153</v>
      </c>
      <c r="I14">
        <f t="shared" si="3"/>
        <v>3.344839438830034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31D8-4B70-4A09-AE52-62C76FD0D730}">
  <dimension ref="A1:I14"/>
  <sheetViews>
    <sheetView workbookViewId="0">
      <selection activeCell="I8" sqref="I8"/>
    </sheetView>
  </sheetViews>
  <sheetFormatPr defaultRowHeight="14" x14ac:dyDescent="0.3"/>
  <sheetData>
    <row r="1" spans="1:9" x14ac:dyDescent="0.3">
      <c r="A1" t="s">
        <v>2</v>
      </c>
      <c r="F1" t="s">
        <v>5</v>
      </c>
    </row>
    <row r="2" spans="1:9" x14ac:dyDescent="0.3">
      <c r="A2" t="s">
        <v>0</v>
      </c>
      <c r="B2" t="s">
        <v>8</v>
      </c>
      <c r="F2" t="s">
        <v>0</v>
      </c>
      <c r="G2" t="s">
        <v>8</v>
      </c>
    </row>
    <row r="3" spans="1:9" x14ac:dyDescent="0.3">
      <c r="A3">
        <v>1.2458077144041622</v>
      </c>
      <c r="B3">
        <v>2.8116960960176076</v>
      </c>
      <c r="F3">
        <v>0.95673741546215929</v>
      </c>
      <c r="G3">
        <v>3.3137580804474442</v>
      </c>
    </row>
    <row r="4" spans="1:9" x14ac:dyDescent="0.3">
      <c r="A4">
        <v>0.81807446965204944</v>
      </c>
      <c r="B4">
        <v>3.9271302954387255</v>
      </c>
      <c r="F4">
        <v>1.2119087461343516</v>
      </c>
      <c r="G4">
        <v>2.0688375313571417</v>
      </c>
    </row>
    <row r="5" spans="1:9" x14ac:dyDescent="0.3">
      <c r="A5">
        <v>0.93611781594378118</v>
      </c>
      <c r="B5">
        <v>2.7713800627499192</v>
      </c>
      <c r="F5">
        <v>0.8313538384034842</v>
      </c>
      <c r="G5">
        <v>3.3045457634583966</v>
      </c>
    </row>
    <row r="8" spans="1:9" x14ac:dyDescent="0.3">
      <c r="A8" t="s">
        <v>3</v>
      </c>
      <c r="B8" t="s">
        <v>2</v>
      </c>
      <c r="C8" t="s">
        <v>4</v>
      </c>
      <c r="F8" t="s">
        <v>6</v>
      </c>
      <c r="G8" t="s">
        <v>5</v>
      </c>
      <c r="H8" t="s">
        <v>7</v>
      </c>
    </row>
    <row r="9" spans="1:9" x14ac:dyDescent="0.3">
      <c r="A9">
        <v>14583</v>
      </c>
      <c r="B9">
        <v>53478</v>
      </c>
      <c r="C9">
        <f>A9/B9</f>
        <v>0.27269157410523953</v>
      </c>
      <c r="D9">
        <f>C9/0.21888736997881</f>
        <v>1.2458077144041622</v>
      </c>
      <c r="F9">
        <v>9583</v>
      </c>
      <c r="G9">
        <v>64462</v>
      </c>
      <c r="H9">
        <f>F9/G9</f>
        <v>0.14866122676925941</v>
      </c>
      <c r="I9">
        <f>H9/0.155383519413681</f>
        <v>0.95673741546215929</v>
      </c>
    </row>
    <row r="10" spans="1:9" x14ac:dyDescent="0.3">
      <c r="A10">
        <v>9837</v>
      </c>
      <c r="B10">
        <v>54935</v>
      </c>
      <c r="C10">
        <f t="shared" ref="C10:C14" si="0">A10/B10</f>
        <v>0.17906616910894693</v>
      </c>
      <c r="D10">
        <f t="shared" ref="D10:D14" si="1">C10/0.21888736997881</f>
        <v>0.81807446965204944</v>
      </c>
      <c r="F10">
        <v>12907</v>
      </c>
      <c r="G10">
        <v>68541</v>
      </c>
      <c r="H10">
        <f t="shared" ref="H10:H14" si="2">F10/G10</f>
        <v>0.18831064618257684</v>
      </c>
      <c r="I10">
        <f t="shared" ref="I10:I14" si="3">H10/0.155383519413681</f>
        <v>1.2119087461343516</v>
      </c>
    </row>
    <row r="11" spans="1:9" x14ac:dyDescent="0.3">
      <c r="A11">
        <v>10938</v>
      </c>
      <c r="B11">
        <v>53381</v>
      </c>
      <c r="C11">
        <f t="shared" si="0"/>
        <v>0.20490436672224199</v>
      </c>
      <c r="D11">
        <f t="shared" si="1"/>
        <v>0.93611781594378118</v>
      </c>
      <c r="F11">
        <v>8509</v>
      </c>
      <c r="G11">
        <v>65870</v>
      </c>
      <c r="H11">
        <f t="shared" si="2"/>
        <v>0.12917868528920601</v>
      </c>
      <c r="I11">
        <f t="shared" si="3"/>
        <v>0.8313538384034842</v>
      </c>
    </row>
    <row r="12" spans="1:9" x14ac:dyDescent="0.3">
      <c r="A12">
        <v>36206</v>
      </c>
      <c r="B12">
        <v>58829</v>
      </c>
      <c r="C12">
        <f t="shared" si="0"/>
        <v>0.61544476363698175</v>
      </c>
      <c r="D12">
        <f t="shared" si="1"/>
        <v>2.8116960960176076</v>
      </c>
      <c r="F12">
        <v>34964</v>
      </c>
      <c r="G12">
        <v>67904</v>
      </c>
      <c r="H12">
        <f t="shared" si="2"/>
        <v>0.51490339302544774</v>
      </c>
      <c r="I12">
        <f t="shared" si="3"/>
        <v>3.3137580804474442</v>
      </c>
    </row>
    <row r="13" spans="1:9" x14ac:dyDescent="0.3">
      <c r="A13">
        <v>46843</v>
      </c>
      <c r="B13">
        <v>54494</v>
      </c>
      <c r="C13">
        <f t="shared" si="0"/>
        <v>0.85959922193268978</v>
      </c>
      <c r="D13">
        <f t="shared" si="1"/>
        <v>3.9271302954387255</v>
      </c>
      <c r="F13">
        <v>21846</v>
      </c>
      <c r="G13">
        <v>67958</v>
      </c>
      <c r="H13">
        <f t="shared" si="2"/>
        <v>0.32146325671738429</v>
      </c>
      <c r="I13">
        <f t="shared" si="3"/>
        <v>2.0688375313571417</v>
      </c>
    </row>
    <row r="14" spans="1:9" x14ac:dyDescent="0.3">
      <c r="A14">
        <v>32823</v>
      </c>
      <c r="B14">
        <v>54108</v>
      </c>
      <c r="C14">
        <f t="shared" si="0"/>
        <v>0.60662009314703924</v>
      </c>
      <c r="D14">
        <f t="shared" si="1"/>
        <v>2.7713800627499192</v>
      </c>
      <c r="F14">
        <v>32054</v>
      </c>
      <c r="G14">
        <v>62426</v>
      </c>
      <c r="H14">
        <f t="shared" si="2"/>
        <v>0.51347195078973507</v>
      </c>
      <c r="I14">
        <f t="shared" si="3"/>
        <v>3.3045457634583966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22RV1</vt:lpstr>
      <vt:lpstr>PC-3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Ada</cp:lastModifiedBy>
  <dcterms:created xsi:type="dcterms:W3CDTF">2015-06-05T18:19:34Z</dcterms:created>
  <dcterms:modified xsi:type="dcterms:W3CDTF">2026-02-06T04:04:30Z</dcterms:modified>
</cp:coreProperties>
</file>